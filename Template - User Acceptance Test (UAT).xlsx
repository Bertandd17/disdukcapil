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hi\Downloads\Template-User-Acceptance-Test-UAT\"/>
    </mc:Choice>
  </mc:AlternateContent>
  <xr:revisionPtr revIDLastSave="0" documentId="13_ncr:1_{E09C969D-3289-41FD-BE8C-98BF11E97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3" l="1"/>
  <c r="C65" i="3"/>
  <c r="C64" i="3"/>
  <c r="C63" i="3"/>
</calcChain>
</file>

<file path=xl/sharedStrings.xml><?xml version="1.0" encoding="utf-8"?>
<sst xmlns="http://schemas.openxmlformats.org/spreadsheetml/2006/main" count="123" uniqueCount="97">
  <si>
    <t>BERITA ACARA</t>
  </si>
  <si>
    <t>Rapat Pembahasan</t>
  </si>
  <si>
    <t>("User Acceptance Testing")</t>
  </si>
  <si>
    <t>Nama Proyek</t>
  </si>
  <si>
    <t>Perjanjian Pokok</t>
  </si>
  <si>
    <t>Perihal</t>
  </si>
  <si>
    <t>: User Acceptance Testing (UAT)</t>
  </si>
  <si>
    <t>Waktu Pelaksanaan</t>
  </si>
  <si>
    <t>: 09.30 – 12.00, 4 Januari 2023</t>
  </si>
  <si>
    <t>Tempat</t>
  </si>
  <si>
    <t>: Zoom Meeting</t>
  </si>
  <si>
    <t>DAFTAR HADIR</t>
  </si>
  <si>
    <t>Nama</t>
  </si>
  <si>
    <t>Institusi</t>
  </si>
  <si>
    <t xml:space="preserve">                                                   Jabatan</t>
  </si>
  <si>
    <t>Project Manager</t>
  </si>
  <si>
    <t>Software Tester</t>
  </si>
  <si>
    <t>Developer</t>
  </si>
  <si>
    <t>Ketua Pelaksana</t>
  </si>
  <si>
    <t>UAT</t>
  </si>
  <si>
    <t>a. Rundown</t>
  </si>
  <si>
    <t>08.00 - 08.15</t>
  </si>
  <si>
    <t>: Pembukaan</t>
  </si>
  <si>
    <t>08.15 - 08.30</t>
  </si>
  <si>
    <t>: Business Flow Overview</t>
  </si>
  <si>
    <t>08.30 - 10.00</t>
  </si>
  <si>
    <t>: Uat per fitur</t>
  </si>
  <si>
    <t>b. Notes &amp; Agreement</t>
  </si>
  <si>
    <t>PEKERJAAN/ FITUR YANG DIUJI :</t>
  </si>
  <si>
    <t>Kode US</t>
  </si>
  <si>
    <t>TCID</t>
  </si>
  <si>
    <t>Test Cases</t>
  </si>
  <si>
    <t>Test Steps</t>
  </si>
  <si>
    <t>Expected Result</t>
  </si>
  <si>
    <t>Actual Result</t>
  </si>
  <si>
    <t>Status</t>
  </si>
  <si>
    <t>Catatan</t>
  </si>
  <si>
    <t>TC0001</t>
  </si>
  <si>
    <t>Passed</t>
  </si>
  <si>
    <t>TC0002</t>
  </si>
  <si>
    <t>Bug</t>
  </si>
  <si>
    <t>TC0003</t>
  </si>
  <si>
    <t>Enhancement</t>
  </si>
  <si>
    <t>1. Menuju ke halaman lupa pswd
2. Tidak input data credential
3. Klik button login
4. Cek kotak masuk e-mail</t>
  </si>
  <si>
    <t>REKAP HASIL UAT</t>
  </si>
  <si>
    <t>Total</t>
  </si>
  <si>
    <t>CATATAN DAN KESEPAKATAN</t>
  </si>
  <si>
    <t>Kategori</t>
  </si>
  <si>
    <t>Catatan dan Kesepakatan</t>
  </si>
  <si>
    <t>PJ</t>
  </si>
  <si>
    <t>DEPOK, 20 JANUARI 2024</t>
  </si>
  <si>
    <t>MENGESAHKAN,</t>
  </si>
  <si>
    <t xml:space="preserve">PIHAK PERTAMA </t>
  </si>
  <si>
    <t xml:space="preserve">PIHAK KEDUA </t>
  </si>
  <si>
    <t>NAMA KLIEN</t>
  </si>
  <si>
    <t>NAMA PENANGGUNG JAWAB</t>
  </si>
  <si>
    <t>KETUA PELAKSANA</t>
  </si>
  <si>
    <t>PROJECT MANAGER</t>
  </si>
  <si>
    <t>Stakeholder 1</t>
  </si>
  <si>
    <t>Stakeholder 2</t>
  </si>
  <si>
    <t>Stakeholder 3</t>
  </si>
  <si>
    <t>Stakeholder 4</t>
  </si>
  <si>
    <t>PT. ABC</t>
  </si>
  <si>
    <t>PT. Vendor XYZ</t>
  </si>
  <si>
    <t>: 5227/UAT/X/2023</t>
  </si>
  <si>
    <t>ABC-0001</t>
  </si>
  <si>
    <t>ABC-0002</t>
  </si>
  <si>
    <t>NAMA PERUSAHAAN ANDA</t>
  </si>
  <si>
    <t>: PROYEK AKHIR TAHUN III</t>
  </si>
  <si>
    <t>Saya sebagai admin bisa melakukan login</t>
  </si>
  <si>
    <t xml:space="preserve">Login valid </t>
  </si>
  <si>
    <t>Login invalid</t>
  </si>
  <si>
    <t xml:space="preserve">1. Buka halaman login
2. Masukkan username dan password yang benar
3. Klik tombol masuk
4. Isi pertanyaan validasi keamanan
5. Tekan tombol verifikasi dan masuk </t>
  </si>
  <si>
    <t>Akses login diterima menampilkan message "
Berhasil, Verifikasi pertanyaan keamanan telah berhasil."</t>
  </si>
  <si>
    <t>Berhasil Login</t>
  </si>
  <si>
    <t>Akses login ditolak menampilkan message "Username atau password salah."</t>
  </si>
  <si>
    <t>Gagal login</t>
  </si>
  <si>
    <t>Saya sebagai keagamaan bisa melakukan login</t>
  </si>
  <si>
    <t>1. Buka halaman login
2. Masukkan username dan password yang benar
3. Klik tombol masuk</t>
  </si>
  <si>
    <t>Saya sebagai user bisa melakukan request nomor antrian</t>
  </si>
  <si>
    <t>1. Pilih menu Antrian Online
2. Pilih jenis layanan 
3. Unggah foto KTP 
4. Klik tombol lanjut kirim ke OCR</t>
  </si>
  <si>
    <t>1. Menuju ke halaman login
2. Masukkan username dan password yang salah
3. Klik tombol masuk</t>
  </si>
  <si>
    <t>Request Antrian online Berhasil</t>
  </si>
  <si>
    <t xml:space="preserve">Request Antrian online Gagal </t>
  </si>
  <si>
    <t>ABC-0003</t>
  </si>
  <si>
    <t>ABC-0004</t>
  </si>
  <si>
    <t xml:space="preserve">Saya sebagai user bisa melakukan pelacakan berkas yang saya ajukan </t>
  </si>
  <si>
    <t>Lacak berkas Berhasil</t>
  </si>
  <si>
    <t xml:space="preserve">1. Pilih menu Antrian Online
2. Masukkan nama atau nomor antrian dan pilih layanan  
3. Tekan tombol cari antrian </t>
  </si>
  <si>
    <t>Lacak berkas 
dengan nama/ nomor antrian salah</t>
  </si>
  <si>
    <t xml:space="preserve">1. Pilih menu Antrian Online
2. Masukkan nama atau nomor antrian yang salah   
3. Tekan tombol cari antrian </t>
  </si>
  <si>
    <t>Lacak berkas 
dengan pilihan layanan yang salah</t>
  </si>
  <si>
    <t xml:space="preserve">1. Pilih menu Antrian Online
2. Masukkan nama pilihan layanan  yang salah   
3. Tekan tombol cari antrian </t>
  </si>
  <si>
    <t xml:space="preserve">Saya sebagai user bisa melakukan pengajuan layanan Kartu keluarga </t>
  </si>
  <si>
    <t>Berhasil Antrian online</t>
  </si>
  <si>
    <t>Gagal antrian online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</si>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</sst>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 readingOrder="1"/>
    </xf>
    <xf numFmtId="0" fontId="0" fillId="2" borderId="0" xfId="0" applyFill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5" xfId="0" applyFont="1" applyFill="1" applyBorder="1" applyAlignment="1">
      <alignment horizontal="center" vertical="center"/>
    </xf>
    <xf numFmtId="0" fontId="0" fillId="0" borderId="1" xfId="0" applyBorder="1"/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5" xfId="0" applyBorder="1"/>
    <xf numFmtId="0" fontId="0" fillId="0" borderId="19" xfId="0" applyBorder="1"/>
    <xf numFmtId="0" fontId="3" fillId="0" borderId="14" xfId="0" applyFont="1" applyBorder="1"/>
    <xf numFmtId="0" fontId="2" fillId="3" borderId="21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0" borderId="0" xfId="0" quotePrefix="1"/>
    <xf numFmtId="0" fontId="2" fillId="3" borderId="0" xfId="0" applyFont="1" applyFill="1" applyAlignment="1">
      <alignment horizontal="left" vertical="center"/>
    </xf>
    <xf numFmtId="0" fontId="0" fillId="0" borderId="2" xfId="0" quotePrefix="1" applyBorder="1"/>
    <xf numFmtId="0" fontId="0" fillId="0" borderId="3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7" xfId="0" applyFont="1" applyBorder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quotePrefix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quotePrefix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9" xfId="0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8" xfId="0" applyBorder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4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vertical="center" wrapText="1"/>
    </xf>
    <xf numFmtId="0" fontId="0" fillId="5" borderId="3" xfId="0" quotePrefix="1" applyFill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9"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1F2D-5007-4D35-A9A5-B7E77DC19C32}">
  <sheetPr>
    <tabColor theme="1"/>
    <pageSetUpPr fitToPage="1"/>
  </sheetPr>
  <dimension ref="B1:J98"/>
  <sheetViews>
    <sheetView showGridLines="0" tabSelected="1" topLeftCell="A34" zoomScale="85" zoomScaleNormal="85" workbookViewId="0">
      <selection activeCell="E48" sqref="E48"/>
    </sheetView>
  </sheetViews>
  <sheetFormatPr defaultRowHeight="13.8"/>
  <cols>
    <col min="1" max="1" width="9" customWidth="1"/>
    <col min="2" max="2" width="14.09765625" customWidth="1"/>
    <col min="3" max="3" width="13.296875" customWidth="1"/>
    <col min="4" max="4" width="17.59765625" customWidth="1"/>
    <col min="5" max="5" width="50.59765625" customWidth="1"/>
    <col min="6" max="6" width="51.8984375" customWidth="1"/>
    <col min="7" max="7" width="33" style="55" customWidth="1"/>
    <col min="8" max="8" width="12.8984375" customWidth="1"/>
    <col min="9" max="9" width="28.8984375" style="55" customWidth="1"/>
  </cols>
  <sheetData>
    <row r="1" spans="2:9" ht="24.6">
      <c r="F1" s="37" t="s">
        <v>0</v>
      </c>
    </row>
    <row r="2" spans="2:9" ht="24.6">
      <c r="F2" s="37" t="s">
        <v>1</v>
      </c>
    </row>
    <row r="3" spans="2:9" ht="24.6">
      <c r="F3" s="37" t="s">
        <v>2</v>
      </c>
    </row>
    <row r="4" spans="2:9" ht="24.6">
      <c r="F4" s="36"/>
    </row>
    <row r="6" spans="2:9">
      <c r="B6" t="s">
        <v>3</v>
      </c>
      <c r="D6" t="s">
        <v>68</v>
      </c>
    </row>
    <row r="7" spans="2:9">
      <c r="B7" t="s">
        <v>4</v>
      </c>
      <c r="D7" t="s">
        <v>64</v>
      </c>
    </row>
    <row r="8" spans="2:9">
      <c r="B8" t="s">
        <v>5</v>
      </c>
      <c r="D8" t="s">
        <v>6</v>
      </c>
    </row>
    <row r="9" spans="2:9">
      <c r="B9" t="s">
        <v>7</v>
      </c>
      <c r="D9" t="s">
        <v>8</v>
      </c>
    </row>
    <row r="10" spans="2:9">
      <c r="B10" t="s">
        <v>9</v>
      </c>
      <c r="D10" t="s">
        <v>10</v>
      </c>
    </row>
    <row r="12" spans="2:9">
      <c r="B12" s="15" t="s">
        <v>11</v>
      </c>
    </row>
    <row r="14" spans="2:9" s="16" customFormat="1" ht="26.25" customHeight="1">
      <c r="B14" s="20"/>
      <c r="C14" s="2" t="s">
        <v>12</v>
      </c>
      <c r="D14" s="2"/>
      <c r="E14" s="12" t="s">
        <v>13</v>
      </c>
      <c r="F14" s="33" t="s">
        <v>14</v>
      </c>
      <c r="G14" s="67"/>
      <c r="H14" s="2"/>
      <c r="I14" s="56"/>
    </row>
    <row r="15" spans="2:9">
      <c r="B15" s="34" t="s">
        <v>58</v>
      </c>
      <c r="C15" s="19"/>
      <c r="D15" s="19"/>
      <c r="E15" s="35" t="s">
        <v>63</v>
      </c>
      <c r="F15" s="19" t="s">
        <v>15</v>
      </c>
      <c r="G15" s="68"/>
      <c r="H15" s="19"/>
      <c r="I15" s="57"/>
    </row>
    <row r="16" spans="2:9">
      <c r="B16" s="34" t="s">
        <v>59</v>
      </c>
      <c r="C16" s="19"/>
      <c r="D16" s="19"/>
      <c r="E16" s="35" t="s">
        <v>63</v>
      </c>
      <c r="F16" s="19" t="s">
        <v>16</v>
      </c>
      <c r="G16" s="68"/>
      <c r="H16" s="19"/>
      <c r="I16" s="57"/>
    </row>
    <row r="17" spans="2:10">
      <c r="B17" s="34" t="s">
        <v>60</v>
      </c>
      <c r="C17" s="19"/>
      <c r="D17" s="19"/>
      <c r="E17" s="35" t="s">
        <v>63</v>
      </c>
      <c r="F17" s="19" t="s">
        <v>17</v>
      </c>
      <c r="G17" s="68"/>
      <c r="H17" s="19"/>
      <c r="I17" s="57"/>
    </row>
    <row r="18" spans="2:10">
      <c r="B18" s="34" t="s">
        <v>61</v>
      </c>
      <c r="C18" s="19"/>
      <c r="D18" s="19"/>
      <c r="E18" s="21" t="s">
        <v>62</v>
      </c>
      <c r="F18" s="19" t="s">
        <v>18</v>
      </c>
      <c r="G18" s="68"/>
      <c r="H18" s="19"/>
      <c r="I18" s="57"/>
    </row>
    <row r="20" spans="2:10">
      <c r="B20" s="15" t="s">
        <v>19</v>
      </c>
    </row>
    <row r="21" spans="2:10">
      <c r="B21" t="s">
        <v>20</v>
      </c>
    </row>
    <row r="22" spans="2:10">
      <c r="C22" s="32" t="s">
        <v>21</v>
      </c>
      <c r="D22" t="s">
        <v>22</v>
      </c>
    </row>
    <row r="23" spans="2:10">
      <c r="C23" t="s">
        <v>23</v>
      </c>
      <c r="D23" t="s">
        <v>24</v>
      </c>
    </row>
    <row r="24" spans="2:10">
      <c r="C24" s="32" t="s">
        <v>25</v>
      </c>
      <c r="D24" t="s">
        <v>26</v>
      </c>
    </row>
    <row r="25" spans="2:10">
      <c r="C25" s="32"/>
    </row>
    <row r="26" spans="2:10">
      <c r="B26" t="s">
        <v>27</v>
      </c>
    </row>
    <row r="29" spans="2:10" s="1" customFormat="1">
      <c r="B29" s="14" t="s">
        <v>28</v>
      </c>
      <c r="G29" s="39"/>
      <c r="I29" s="39"/>
    </row>
    <row r="30" spans="2:10" s="1" customFormat="1">
      <c r="G30" s="39"/>
      <c r="I30" s="39"/>
    </row>
    <row r="31" spans="2:10" s="1" customFormat="1" ht="22.5" customHeight="1">
      <c r="B31" s="30" t="s">
        <v>29</v>
      </c>
      <c r="C31" s="12" t="s">
        <v>30</v>
      </c>
      <c r="D31" s="12" t="s">
        <v>31</v>
      </c>
      <c r="E31" s="12" t="s">
        <v>32</v>
      </c>
      <c r="F31" s="12" t="s">
        <v>33</v>
      </c>
      <c r="G31" s="69" t="s">
        <v>34</v>
      </c>
      <c r="H31" s="12" t="s">
        <v>35</v>
      </c>
      <c r="I31" s="58" t="s">
        <v>36</v>
      </c>
      <c r="J31" s="13"/>
    </row>
    <row r="32" spans="2:10" s="1" customFormat="1" ht="14.4">
      <c r="B32" s="31" t="s">
        <v>65</v>
      </c>
      <c r="C32" s="9" t="s">
        <v>69</v>
      </c>
      <c r="D32" s="10"/>
      <c r="E32" s="10"/>
      <c r="F32" s="10"/>
      <c r="G32" s="11"/>
      <c r="H32" s="9"/>
      <c r="I32" s="11"/>
      <c r="J32" s="13"/>
    </row>
    <row r="33" spans="2:10" s="1" customFormat="1" ht="69">
      <c r="B33" s="3"/>
      <c r="C33" s="3" t="s">
        <v>37</v>
      </c>
      <c r="D33" s="4" t="s">
        <v>70</v>
      </c>
      <c r="E33" s="5" t="s">
        <v>72</v>
      </c>
      <c r="F33" s="4" t="s">
        <v>73</v>
      </c>
      <c r="G33" s="4" t="s">
        <v>74</v>
      </c>
      <c r="H33" s="53" t="s">
        <v>38</v>
      </c>
      <c r="I33" s="4"/>
    </row>
    <row r="34" spans="2:10" s="1" customFormat="1" ht="41.4">
      <c r="B34" s="6"/>
      <c r="C34" s="6" t="s">
        <v>39</v>
      </c>
      <c r="D34" s="7" t="s">
        <v>71</v>
      </c>
      <c r="E34" s="8" t="s">
        <v>81</v>
      </c>
      <c r="F34" s="7" t="s">
        <v>75</v>
      </c>
      <c r="G34" s="7" t="s">
        <v>76</v>
      </c>
      <c r="H34" s="53" t="s">
        <v>40</v>
      </c>
      <c r="I34" s="7"/>
    </row>
    <row r="35" spans="2:10" s="1" customFormat="1">
      <c r="B35" s="76" t="s">
        <v>66</v>
      </c>
      <c r="C35" s="77" t="s">
        <v>77</v>
      </c>
      <c r="D35" s="78"/>
      <c r="E35" s="78"/>
      <c r="F35" s="74"/>
      <c r="G35" s="75"/>
      <c r="H35" s="74"/>
      <c r="I35" s="75"/>
    </row>
    <row r="36" spans="2:10" s="1" customFormat="1" ht="41.4">
      <c r="B36" s="79"/>
      <c r="C36" s="3" t="s">
        <v>37</v>
      </c>
      <c r="D36" s="4" t="s">
        <v>70</v>
      </c>
      <c r="E36" s="5" t="s">
        <v>78</v>
      </c>
      <c r="F36" s="4" t="s">
        <v>73</v>
      </c>
      <c r="G36" s="4" t="s">
        <v>74</v>
      </c>
      <c r="H36" s="53" t="s">
        <v>38</v>
      </c>
      <c r="I36" s="80"/>
    </row>
    <row r="37" spans="2:10" s="1" customFormat="1" ht="41.4">
      <c r="B37" s="6"/>
      <c r="C37" s="6" t="s">
        <v>39</v>
      </c>
      <c r="D37" s="7" t="s">
        <v>71</v>
      </c>
      <c r="E37" s="8" t="s">
        <v>81</v>
      </c>
      <c r="F37" s="7" t="s">
        <v>75</v>
      </c>
      <c r="G37" s="7" t="s">
        <v>76</v>
      </c>
      <c r="H37" s="53" t="s">
        <v>40</v>
      </c>
      <c r="I37" s="7"/>
      <c r="J37" s="13"/>
    </row>
    <row r="38" spans="2:10" s="1" customFormat="1">
      <c r="B38" s="31" t="s">
        <v>84</v>
      </c>
      <c r="C38" s="9" t="s">
        <v>79</v>
      </c>
      <c r="D38" s="11"/>
      <c r="E38" s="11"/>
      <c r="F38" s="11"/>
      <c r="G38" s="11"/>
      <c r="H38" s="54"/>
      <c r="I38" s="11"/>
    </row>
    <row r="39" spans="2:10" s="1" customFormat="1" ht="55.2">
      <c r="B39" s="3"/>
      <c r="C39" s="3" t="s">
        <v>37</v>
      </c>
      <c r="D39" s="4" t="s">
        <v>82</v>
      </c>
      <c r="E39" s="81" t="s">
        <v>80</v>
      </c>
      <c r="F39" s="4"/>
      <c r="G39" s="4" t="s">
        <v>94</v>
      </c>
      <c r="H39" s="53" t="s">
        <v>38</v>
      </c>
      <c r="I39" s="4"/>
    </row>
    <row r="40" spans="2:10" s="1" customFormat="1" ht="55.2">
      <c r="B40" s="6"/>
      <c r="C40" s="6" t="s">
        <v>39</v>
      </c>
      <c r="D40" s="7" t="s">
        <v>83</v>
      </c>
      <c r="E40" s="82" t="s">
        <v>43</v>
      </c>
      <c r="F40" s="7"/>
      <c r="G40" s="7" t="s">
        <v>95</v>
      </c>
      <c r="H40" s="83" t="s">
        <v>40</v>
      </c>
      <c r="I40" s="7"/>
    </row>
    <row r="41" spans="2:10" s="1" customFormat="1">
      <c r="B41" s="31" t="s">
        <v>85</v>
      </c>
      <c r="C41" s="9" t="s">
        <v>86</v>
      </c>
      <c r="D41" s="11"/>
      <c r="E41" s="11"/>
      <c r="F41" s="11"/>
      <c r="G41" s="11"/>
      <c r="H41" s="54"/>
      <c r="I41" s="11"/>
    </row>
    <row r="42" spans="2:10" s="1" customFormat="1" ht="41.4">
      <c r="B42" s="3"/>
      <c r="C42" s="3" t="s">
        <v>37</v>
      </c>
      <c r="D42" s="4" t="s">
        <v>87</v>
      </c>
      <c r="E42" s="5" t="s">
        <v>88</v>
      </c>
      <c r="F42" s="4"/>
      <c r="G42" s="4"/>
      <c r="H42" s="53"/>
      <c r="I42" s="4"/>
    </row>
    <row r="43" spans="2:10" s="1" customFormat="1" ht="41.4">
      <c r="B43" s="3"/>
      <c r="C43" s="6" t="s">
        <v>39</v>
      </c>
      <c r="D43" s="7" t="s">
        <v>89</v>
      </c>
      <c r="E43" s="5" t="s">
        <v>90</v>
      </c>
      <c r="F43" s="4"/>
      <c r="G43" s="4"/>
      <c r="H43" s="53"/>
      <c r="I43" s="4"/>
    </row>
    <row r="44" spans="2:10" s="1" customFormat="1" ht="41.4">
      <c r="B44" s="3"/>
      <c r="C44" s="6" t="s">
        <v>41</v>
      </c>
      <c r="D44" s="7" t="s">
        <v>91</v>
      </c>
      <c r="E44" s="5" t="s">
        <v>92</v>
      </c>
      <c r="F44" s="4"/>
      <c r="G44" s="4"/>
      <c r="H44" s="53"/>
      <c r="I44" s="4"/>
    </row>
    <row r="45" spans="2:10" s="1" customFormat="1">
      <c r="B45" s="31" t="s">
        <v>85</v>
      </c>
      <c r="C45" s="9" t="s">
        <v>93</v>
      </c>
      <c r="D45" s="11"/>
      <c r="E45" s="11"/>
      <c r="F45" s="11"/>
      <c r="G45" s="11"/>
      <c r="H45" s="54"/>
      <c r="I45" s="11"/>
    </row>
    <row r="46" spans="2:10" s="1" customFormat="1">
      <c r="B46" s="3"/>
      <c r="C46" s="3" t="s">
        <v>37</v>
      </c>
      <c r="D46" s="4" t="s">
        <v>96</v>
      </c>
      <c r="E46" s="5"/>
      <c r="F46" s="4"/>
      <c r="G46" s="4"/>
      <c r="H46" s="53"/>
      <c r="I46" s="4"/>
    </row>
    <row r="47" spans="2:10" s="1" customFormat="1">
      <c r="B47" s="3"/>
      <c r="C47" s="6" t="s">
        <v>39</v>
      </c>
      <c r="D47" s="4"/>
      <c r="E47" s="5"/>
      <c r="F47" s="4"/>
      <c r="G47" s="4"/>
      <c r="H47" s="53"/>
      <c r="I47" s="4"/>
    </row>
    <row r="48" spans="2:10" s="1" customFormat="1">
      <c r="B48" s="3"/>
      <c r="C48" s="6" t="s">
        <v>41</v>
      </c>
      <c r="D48" s="4"/>
      <c r="E48" s="5"/>
      <c r="F48" s="4"/>
      <c r="G48" s="4"/>
      <c r="H48" s="53"/>
      <c r="I48" s="4"/>
    </row>
    <row r="49" spans="2:9" s="1" customFormat="1">
      <c r="B49" s="3"/>
      <c r="C49" s="3"/>
      <c r="D49" s="4"/>
      <c r="E49" s="5"/>
      <c r="F49" s="4"/>
      <c r="G49" s="4"/>
      <c r="H49" s="53"/>
      <c r="I49" s="4"/>
    </row>
    <row r="50" spans="2:9" s="1" customFormat="1">
      <c r="B50" s="3"/>
      <c r="C50" s="3"/>
      <c r="D50" s="4"/>
      <c r="E50" s="5"/>
      <c r="F50" s="4"/>
      <c r="G50" s="4"/>
      <c r="H50" s="53"/>
      <c r="I50" s="4"/>
    </row>
    <row r="51" spans="2:9" s="1" customFormat="1">
      <c r="B51" s="3"/>
      <c r="C51" s="3"/>
      <c r="D51" s="4"/>
      <c r="E51" s="5"/>
      <c r="F51" s="4"/>
      <c r="G51" s="4"/>
      <c r="H51" s="53"/>
      <c r="I51" s="4"/>
    </row>
    <row r="52" spans="2:9" s="1" customFormat="1">
      <c r="B52" s="3"/>
      <c r="C52" s="3"/>
      <c r="D52" s="4"/>
      <c r="E52" s="5"/>
      <c r="F52" s="4"/>
      <c r="G52" s="4"/>
      <c r="H52" s="53"/>
      <c r="I52" s="4"/>
    </row>
    <row r="53" spans="2:9" s="1" customFormat="1">
      <c r="B53" s="3"/>
      <c r="C53" s="3"/>
      <c r="D53" s="4"/>
      <c r="E53" s="5"/>
      <c r="F53" s="4"/>
      <c r="G53" s="4"/>
      <c r="H53" s="53"/>
      <c r="I53" s="4"/>
    </row>
    <row r="54" spans="2:9" s="1" customFormat="1">
      <c r="B54" s="3"/>
      <c r="C54" s="3"/>
      <c r="D54" s="4"/>
      <c r="E54" s="5"/>
      <c r="F54" s="4"/>
      <c r="G54" s="4"/>
      <c r="H54" s="53"/>
      <c r="I54" s="4"/>
    </row>
    <row r="55" spans="2:9" s="1" customFormat="1">
      <c r="B55" s="3"/>
      <c r="C55" s="3"/>
      <c r="D55" s="4"/>
      <c r="E55" s="5"/>
      <c r="F55" s="4"/>
      <c r="G55" s="4"/>
      <c r="H55" s="53"/>
      <c r="I55" s="4"/>
    </row>
    <row r="56" spans="2:9" s="1" customFormat="1">
      <c r="B56" s="3"/>
      <c r="C56" s="3"/>
      <c r="D56" s="4"/>
      <c r="E56" s="5"/>
      <c r="F56" s="4"/>
      <c r="G56" s="4"/>
      <c r="H56" s="53"/>
      <c r="I56" s="4"/>
    </row>
    <row r="57" spans="2:9" s="1" customFormat="1">
      <c r="B57" s="3"/>
      <c r="C57" s="3"/>
      <c r="D57" s="4"/>
      <c r="E57" s="5"/>
      <c r="F57" s="4"/>
      <c r="G57" s="4"/>
      <c r="H57" s="53"/>
      <c r="I57" s="4"/>
    </row>
    <row r="58" spans="2:9" s="1" customFormat="1">
      <c r="B58" s="3"/>
      <c r="C58" s="3"/>
      <c r="D58" s="4"/>
      <c r="E58" s="5"/>
      <c r="F58" s="4"/>
      <c r="G58" s="4"/>
      <c r="H58" s="53"/>
      <c r="I58" s="4"/>
    </row>
    <row r="59" spans="2:9">
      <c r="B59" s="3"/>
      <c r="C59" s="3"/>
      <c r="D59" s="4"/>
      <c r="E59" s="5"/>
      <c r="F59" s="4"/>
      <c r="G59" s="4"/>
      <c r="H59" s="53"/>
      <c r="I59" s="4"/>
    </row>
    <row r="60" spans="2:9">
      <c r="B60" s="1"/>
      <c r="C60" s="1"/>
      <c r="D60" s="39"/>
      <c r="E60" s="40"/>
      <c r="F60" s="39"/>
      <c r="G60" s="39"/>
      <c r="H60" s="1"/>
      <c r="I60" s="39"/>
    </row>
    <row r="61" spans="2:9">
      <c r="B61" s="14" t="s">
        <v>44</v>
      </c>
      <c r="C61" s="1"/>
      <c r="D61" s="39"/>
      <c r="E61" s="40"/>
      <c r="F61" s="39"/>
      <c r="G61" s="39"/>
      <c r="H61" s="1"/>
      <c r="I61" s="39"/>
    </row>
    <row r="62" spans="2:9" s="16" customFormat="1" ht="22.5" customHeight="1">
      <c r="B62" s="1"/>
      <c r="C62" s="1"/>
      <c r="D62" s="39"/>
      <c r="E62" s="40"/>
      <c r="F62" s="39"/>
      <c r="G62" s="39"/>
      <c r="H62" s="1"/>
      <c r="I62" s="39"/>
    </row>
    <row r="63" spans="2:9">
      <c r="B63" s="49" t="s">
        <v>38</v>
      </c>
      <c r="C63" s="47">
        <f>COUNTIF(H32:H59,"Passed")</f>
        <v>3</v>
      </c>
      <c r="D63" s="42"/>
      <c r="E63" s="43"/>
      <c r="F63" s="42"/>
      <c r="G63" s="42"/>
      <c r="H63" s="41"/>
      <c r="I63" s="59"/>
    </row>
    <row r="64" spans="2:9">
      <c r="B64" s="50" t="s">
        <v>40</v>
      </c>
      <c r="C64" s="16">
        <f>COUNTIF(H32:H59,"Bug")</f>
        <v>3</v>
      </c>
      <c r="D64" s="39"/>
      <c r="E64" s="40"/>
      <c r="F64" s="39"/>
      <c r="G64" s="39"/>
      <c r="H64" s="1"/>
      <c r="I64" s="60"/>
    </row>
    <row r="65" spans="2:9">
      <c r="B65" s="51" t="s">
        <v>42</v>
      </c>
      <c r="C65" s="16">
        <f>COUNTIF(H32:H59,"Enhancement")</f>
        <v>0</v>
      </c>
      <c r="D65" s="39"/>
      <c r="E65" s="40"/>
      <c r="F65" s="39"/>
      <c r="G65" s="39"/>
      <c r="H65" s="1"/>
      <c r="I65" s="60"/>
    </row>
    <row r="66" spans="2:9">
      <c r="B66" s="52" t="s">
        <v>45</v>
      </c>
      <c r="C66" s="48">
        <f>COUNTA(H33:H59)</f>
        <v>6</v>
      </c>
      <c r="D66" s="45"/>
      <c r="E66" s="46"/>
      <c r="F66" s="45"/>
      <c r="G66" s="45"/>
      <c r="H66" s="44"/>
      <c r="I66" s="61"/>
    </row>
    <row r="68" spans="2:9">
      <c r="B68" s="15" t="s">
        <v>46</v>
      </c>
    </row>
    <row r="70" spans="2:9">
      <c r="B70" s="20" t="s">
        <v>47</v>
      </c>
      <c r="C70" s="22"/>
      <c r="D70" s="2"/>
      <c r="E70" s="2" t="s">
        <v>48</v>
      </c>
      <c r="F70" s="2"/>
      <c r="G70" s="67"/>
      <c r="H70" s="23"/>
      <c r="I70" s="56" t="s">
        <v>49</v>
      </c>
    </row>
    <row r="71" spans="2:9">
      <c r="B71" s="21"/>
      <c r="C71" s="19"/>
      <c r="D71" s="19"/>
      <c r="E71" s="19"/>
      <c r="F71" s="19"/>
      <c r="G71" s="68"/>
      <c r="H71" s="19"/>
      <c r="I71" s="62"/>
    </row>
    <row r="72" spans="2:9">
      <c r="B72" s="21"/>
      <c r="C72" s="19"/>
      <c r="D72" s="19"/>
      <c r="E72" s="19"/>
      <c r="F72" s="19"/>
      <c r="G72" s="68"/>
      <c r="H72" s="19"/>
      <c r="I72" s="62"/>
    </row>
    <row r="73" spans="2:9">
      <c r="B73" s="21"/>
      <c r="C73" s="19"/>
      <c r="D73" s="19"/>
      <c r="E73" s="19"/>
      <c r="F73" s="19"/>
      <c r="G73" s="68"/>
      <c r="H73" s="19"/>
      <c r="I73" s="62"/>
    </row>
    <row r="74" spans="2:9">
      <c r="B74" s="21"/>
      <c r="C74" s="19"/>
      <c r="D74" s="19"/>
      <c r="E74" s="19"/>
      <c r="F74" s="19"/>
      <c r="G74" s="68"/>
      <c r="H74" s="19"/>
      <c r="I74" s="62"/>
    </row>
    <row r="75" spans="2:9">
      <c r="B75" s="21"/>
      <c r="C75" s="19"/>
      <c r="D75" s="19"/>
      <c r="E75" s="19"/>
      <c r="F75" s="19"/>
      <c r="G75" s="68"/>
      <c r="H75" s="19"/>
      <c r="I75" s="62"/>
    </row>
    <row r="76" spans="2:9">
      <c r="B76" s="21"/>
      <c r="C76" s="19"/>
      <c r="D76" s="19"/>
      <c r="E76" s="19"/>
      <c r="F76" s="19"/>
      <c r="G76" s="68"/>
      <c r="H76" s="19"/>
      <c r="I76" s="62"/>
    </row>
    <row r="77" spans="2:9">
      <c r="B77" s="21"/>
      <c r="C77" s="19"/>
      <c r="D77" s="19"/>
      <c r="E77" s="19"/>
      <c r="F77" s="19"/>
      <c r="G77" s="68"/>
      <c r="H77" s="19"/>
      <c r="I77" s="62"/>
    </row>
    <row r="78" spans="2:9">
      <c r="B78" s="21"/>
      <c r="C78" s="19"/>
      <c r="D78" s="19"/>
      <c r="E78" s="19"/>
      <c r="F78" s="19"/>
      <c r="G78" s="68"/>
      <c r="H78" s="19"/>
      <c r="I78" s="62"/>
    </row>
    <row r="79" spans="2:9">
      <c r="B79" s="21"/>
      <c r="C79" s="19"/>
      <c r="D79" s="19"/>
      <c r="E79" s="19"/>
      <c r="F79" s="19"/>
      <c r="G79" s="68"/>
      <c r="H79" s="19"/>
      <c r="I79" s="62"/>
    </row>
    <row r="80" spans="2:9">
      <c r="B80" s="21"/>
      <c r="C80" s="19"/>
      <c r="D80" s="19"/>
      <c r="E80" s="19"/>
      <c r="F80" s="19"/>
      <c r="G80" s="68"/>
      <c r="H80" s="19"/>
      <c r="I80" s="62"/>
    </row>
    <row r="83" spans="2:9">
      <c r="B83" s="25"/>
      <c r="C83" s="17"/>
      <c r="D83" s="17"/>
      <c r="E83" s="17"/>
      <c r="F83" s="17"/>
      <c r="G83" s="70"/>
      <c r="H83" s="38" t="s">
        <v>50</v>
      </c>
      <c r="I83" s="63"/>
    </row>
    <row r="84" spans="2:9">
      <c r="B84" s="27"/>
      <c r="I84" s="64"/>
    </row>
    <row r="85" spans="2:9">
      <c r="B85" s="27"/>
      <c r="F85" s="15" t="s">
        <v>51</v>
      </c>
      <c r="I85" s="64"/>
    </row>
    <row r="86" spans="2:9">
      <c r="B86" s="27"/>
      <c r="I86" s="64"/>
    </row>
    <row r="87" spans="2:9">
      <c r="B87" s="27"/>
      <c r="I87" s="64"/>
    </row>
    <row r="88" spans="2:9">
      <c r="B88" s="26"/>
      <c r="C88" s="24"/>
      <c r="D88" s="29" t="s">
        <v>52</v>
      </c>
      <c r="E88" s="24"/>
      <c r="F88" s="24"/>
      <c r="G88" s="71" t="s">
        <v>53</v>
      </c>
      <c r="H88" s="24"/>
      <c r="I88" s="65"/>
    </row>
    <row r="89" spans="2:9">
      <c r="B89" s="27"/>
      <c r="D89" s="15" t="s">
        <v>54</v>
      </c>
      <c r="G89" s="72" t="s">
        <v>67</v>
      </c>
      <c r="I89" s="64"/>
    </row>
    <row r="90" spans="2:9">
      <c r="B90" s="27"/>
      <c r="D90" s="15"/>
      <c r="G90" s="72"/>
      <c r="I90" s="64"/>
    </row>
    <row r="91" spans="2:9">
      <c r="B91" s="27"/>
      <c r="D91" s="15"/>
      <c r="G91" s="72"/>
      <c r="I91" s="64"/>
    </row>
    <row r="92" spans="2:9">
      <c r="B92" s="27"/>
      <c r="D92" s="15"/>
      <c r="G92" s="72"/>
      <c r="I92" s="64"/>
    </row>
    <row r="93" spans="2:9">
      <c r="B93" s="27"/>
      <c r="D93" s="15"/>
      <c r="G93" s="72"/>
      <c r="I93" s="64"/>
    </row>
    <row r="94" spans="2:9">
      <c r="B94" s="27"/>
      <c r="D94" s="15"/>
      <c r="G94" s="72"/>
      <c r="I94" s="64"/>
    </row>
    <row r="95" spans="2:9">
      <c r="B95" s="27"/>
      <c r="D95" s="15" t="s">
        <v>55</v>
      </c>
      <c r="G95" s="72" t="s">
        <v>55</v>
      </c>
      <c r="I95" s="64"/>
    </row>
    <row r="96" spans="2:9">
      <c r="B96" s="27"/>
      <c r="D96" s="15" t="s">
        <v>56</v>
      </c>
      <c r="G96" s="72" t="s">
        <v>57</v>
      </c>
      <c r="I96" s="64"/>
    </row>
    <row r="97" spans="2:9">
      <c r="B97" s="27"/>
      <c r="I97" s="64"/>
    </row>
    <row r="98" spans="2:9">
      <c r="B98" s="28"/>
      <c r="C98" s="18"/>
      <c r="D98" s="18"/>
      <c r="E98" s="18"/>
      <c r="F98" s="18"/>
      <c r="G98" s="73"/>
      <c r="H98" s="18"/>
      <c r="I98" s="66"/>
    </row>
  </sheetData>
  <conditionalFormatting sqref="H33:H35">
    <cfRule type="cellIs" dxfId="8" priority="7" operator="equal">
      <formula>"Enhancement"</formula>
    </cfRule>
    <cfRule type="cellIs" dxfId="7" priority="8" operator="equal">
      <formula>"Bug"</formula>
    </cfRule>
    <cfRule type="cellIs" dxfId="6" priority="9" operator="equal">
      <formula>"Passed"</formula>
    </cfRule>
  </conditionalFormatting>
  <conditionalFormatting sqref="H39:H40">
    <cfRule type="cellIs" dxfId="5" priority="4" operator="equal">
      <formula>"Enhancement"</formula>
    </cfRule>
    <cfRule type="cellIs" dxfId="4" priority="5" operator="equal">
      <formula>"Bug"</formula>
    </cfRule>
    <cfRule type="cellIs" dxfId="3" priority="6" operator="equal">
      <formula>"Passed"</formula>
    </cfRule>
  </conditionalFormatting>
  <conditionalFormatting sqref="H36:H37">
    <cfRule type="cellIs" dxfId="2" priority="1" operator="equal">
      <formula>"Enhancement"</formula>
    </cfRule>
    <cfRule type="cellIs" dxfId="1" priority="2" operator="equal">
      <formula>"Bug"</formula>
    </cfRule>
    <cfRule type="cellIs" dxfId="0" priority="3" operator="equal">
      <formula>"Passed"</formula>
    </cfRule>
  </conditionalFormatting>
  <dataValidations disablePrompts="1" count="1">
    <dataValidation type="list" allowBlank="1" showInputMessage="1" showErrorMessage="1" sqref="H33:H37 H39:H40 H42:H44 H46:H66" xr:uid="{2062E5CC-0734-4A05-B767-24113E173F26}">
      <formula1>"Passed, Bug, Enhancement"</formula1>
    </dataValidation>
  </dataValidations>
  <pageMargins left="0.25" right="0.25" top="0.75" bottom="0.75" header="0.3" footer="0.3"/>
  <pageSetup paperSize="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E8FBB7E8BCE47A2676B7638DE8579" ma:contentTypeVersion="15" ma:contentTypeDescription="Create a new document." ma:contentTypeScope="" ma:versionID="ec62206d17f819ca96fe7b43b63c3807">
  <xsd:schema xmlns:xsd="http://www.w3.org/2001/XMLSchema" xmlns:xs="http://www.w3.org/2001/XMLSchema" xmlns:p="http://schemas.microsoft.com/office/2006/metadata/properties" xmlns:ns2="f735a0d1-498c-4ac9-b124-ef6c549dcb72" xmlns:ns3="56c21f15-cbc5-428c-95c6-3488d76a84da" targetNamespace="http://schemas.microsoft.com/office/2006/metadata/properties" ma:root="true" ma:fieldsID="6958b8337c53f86e9370bd90ba522220" ns2:_="" ns3:_="">
    <xsd:import namespace="f735a0d1-498c-4ac9-b124-ef6c549dcb72"/>
    <xsd:import namespace="56c21f15-cbc5-428c-95c6-3488d76a84d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5a0d1-498c-4ac9-b124-ef6c549dcb7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21f15-cbc5-428c-95c6-3488d76a84d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a90d7fc-63ca-4fe8-aea0-c57a3f331f7d}" ma:internalName="TaxCatchAll" ma:showField="CatchAllData" ma:web="56c21f15-cbc5-428c-95c6-3488d76a8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21f15-cbc5-428c-95c6-3488d76a84da" xsi:nil="true"/>
    <lcf76f155ced4ddcb4097134ff3c332f xmlns="f735a0d1-498c-4ac9-b124-ef6c549dcb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8A50C2-96E4-4152-AFED-738D37E5B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35a0d1-498c-4ac9-b124-ef6c549dcb72"/>
    <ds:schemaRef ds:uri="56c21f15-cbc5-428c-95c6-3488d76a8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611B55-FBAD-4048-A02F-0AEB861ADE41}">
  <ds:schemaRefs>
    <ds:schemaRef ds:uri="http://schemas.microsoft.com/office/2006/metadata/properties"/>
    <ds:schemaRef ds:uri="http://schemas.microsoft.com/office/infopath/2007/PartnerControls"/>
    <ds:schemaRef ds:uri="56c21f15-cbc5-428c-95c6-3488d76a84da"/>
    <ds:schemaRef ds:uri="f735a0d1-498c-4ac9-b124-ef6c549dcb72"/>
  </ds:schemaRefs>
</ds:datastoreItem>
</file>

<file path=customXml/itemProps3.xml><?xml version="1.0" encoding="utf-8"?>
<ds:datastoreItem xmlns:ds="http://schemas.openxmlformats.org/officeDocument/2006/customXml" ds:itemID="{DBD1E6AE-6772-4D24-9BEA-A5E314D823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Badr Interactive</dc:creator>
  <cp:keywords/>
  <dc:description/>
  <cp:lastModifiedBy>hi</cp:lastModifiedBy>
  <cp:revision/>
  <dcterms:created xsi:type="dcterms:W3CDTF">2024-01-21T00:03:19Z</dcterms:created>
  <dcterms:modified xsi:type="dcterms:W3CDTF">2026-05-21T15:59:10Z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0x010100EECE8FBB7E8BCE47A2676B7638DE8579</vt:lpwstr>
  </property>
  <property fmtid="{D5CDD505-2E9C-101B-9397-08002B2CF9AE}" pid="3" name="MediaServiceImageTags">
    <vt:lpwstr/>
  </property>
</Properties>
</file>